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69" documentId="8_{2EFDF332-31E9-4C74-A6B5-E695634C1C45}" xr6:coauthVersionLast="47" xr6:coauthVersionMax="47" xr10:uidLastSave="{49A5BDCC-15B6-4DFD-A55E-0D4E1EDA7588}"/>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<sst xmlns="http://schemas.openxmlformats.org/spreadsheetml/2006/main" count="157" uniqueCount="98">
  <si>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</si>
  <si>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</si>
  <si>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</si>
  <si>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MENESES CACERES WALTER ANDRES</t>
  </si>
  <si>
    <t>MUÑOZ PEÑA MAURICIO JOAQUIN</t>
  </si>
  <si>
    <t>TAPIA AMPUERO MATIAS MARCELO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</si>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</sst>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0" xfId="0" applyFont="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31" sqref="C31"/>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9"/>
    </row>
    <row r="4" spans="1:11">
      <c r="A4" s="5">
        <v>1</v>
      </c>
      <c r="B4" s="48" t="s">
        <v>3</v>
      </c>
      <c r="C4" s="6">
        <f>EVALUACION1!$C$24</f>
        <v>5.9</v>
      </c>
      <c r="D4" s="6">
        <f>$C$35</f>
        <v>7</v>
      </c>
      <c r="E4" s="42">
        <f>C4*C$2+D4*D$2</f>
        <v>6.1750000000000007</v>
      </c>
      <c r="G4" s="1"/>
    </row>
    <row r="5" spans="1:11">
      <c r="A5" s="5">
        <v>2</v>
      </c>
      <c r="B5" s="68" t="s">
        <v>4</v>
      </c>
      <c r="C5" s="6">
        <f>EVALUACION1!$C$24</f>
        <v>5.9</v>
      </c>
      <c r="D5" s="6">
        <f>C47</f>
        <v>6</v>
      </c>
      <c r="E5" s="42">
        <f t="shared" ref="E5:E6" si="0">C5*C$2+D5*D$2</f>
        <v>5.9250000000000007</v>
      </c>
      <c r="G5" s="1"/>
    </row>
    <row r="6" spans="1:11">
      <c r="A6" s="5">
        <v>3</v>
      </c>
      <c r="B6" s="48" t="s">
        <v>5</v>
      </c>
      <c r="C6" s="6">
        <f>EVALUACION1!$C$24</f>
        <v>5.9</v>
      </c>
      <c r="D6" s="6">
        <f>C58</f>
        <v>7</v>
      </c>
      <c r="E6" s="42">
        <f t="shared" si="0"/>
        <v>6.1750000000000007</v>
      </c>
      <c r="G6" s="1"/>
    </row>
    <row r="9" spans="1:11" ht="15" customHeight="1">
      <c r="B9" s="48"/>
    </row>
    <row r="11" spans="1:11" ht="18.75" outlineLevel="1">
      <c r="A11" s="55" t="s">
        <v>6</v>
      </c>
      <c r="B11" s="14"/>
      <c r="C11" s="51" t="s">
        <v>7</v>
      </c>
      <c r="D11" s="52" t="s">
        <v>8</v>
      </c>
      <c r="E11" s="70"/>
      <c r="F11" s="70"/>
      <c r="G11" s="70"/>
      <c r="H11" s="70"/>
      <c r="I11" s="70"/>
      <c r="J11" s="70"/>
      <c r="K11" s="71"/>
    </row>
    <row r="12" spans="1:11" outlineLevel="1">
      <c r="A12" s="72"/>
      <c r="B12" s="24" t="s">
        <v>9</v>
      </c>
      <c r="C12" s="69"/>
      <c r="D12" s="52" t="s">
        <v>10</v>
      </c>
      <c r="E12" s="71"/>
      <c r="F12" s="52" t="s">
        <v>11</v>
      </c>
      <c r="G12" s="71"/>
      <c r="H12" s="52" t="s">
        <v>12</v>
      </c>
      <c r="I12" s="71"/>
      <c r="J12" s="52" t="s">
        <v>13</v>
      </c>
      <c r="K12" s="71"/>
    </row>
    <row r="13" spans="1:11" ht="24" outlineLevel="1">
      <c r="A13" s="73"/>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3"/>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3"/>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3"/>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3"/>
      <c r="B17" s="34" t="str">
        <f>RUBRICA!A10</f>
        <v>6. Propone una metodología de trabajo que permite alcanzar los objetivos propuestos y es pertinente con los requerimientos disciplinares.</v>
      </c>
      <c r="C17" s="32" t="s">
        <v>10</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3"/>
      <c r="B18" s="34" t="str">
        <f>RUBRICA!A11</f>
        <v xml:space="preserve">7. Establece un plan de trabajo para su proyecto APT considerando los recursos, duración, facilitadores y obstaculizadores en el desarrollo de las actividades. </v>
      </c>
      <c r="C18" s="32" t="s">
        <v>11</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c r="A19" s="73"/>
      <c r="B19" s="34" t="str">
        <f>RUBRICA!A12</f>
        <v>8. Determina evidencias, justificando cómo estas dan cuenta del logro de las actividades del Proyecto APT.</v>
      </c>
      <c r="C19" s="32" t="s">
        <v>11</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c r="A20" s="73"/>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3"/>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3"/>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2"/>
      <c r="B23" s="33" t="s">
        <v>14</v>
      </c>
      <c r="C23" s="36">
        <f>E23+G23+I23+K23</f>
        <v>60</v>
      </c>
      <c r="D23" s="19"/>
      <c r="E23" s="19">
        <f>SUM(E13:E22)</f>
        <v>45</v>
      </c>
      <c r="F23" s="19"/>
      <c r="G23" s="19">
        <f>SUM(G13:G22)</f>
        <v>15</v>
      </c>
      <c r="H23" s="19"/>
      <c r="I23" s="19">
        <f>SUM(I13:I22)</f>
        <v>0</v>
      </c>
      <c r="J23" s="19"/>
      <c r="K23" s="19">
        <f>SUM(K13:K22)</f>
        <v>0</v>
      </c>
    </row>
    <row r="24" spans="1:11" ht="15.75" customHeight="1" outlineLevel="1">
      <c r="A24" s="69"/>
      <c r="B24" s="35" t="s">
        <v>15</v>
      </c>
      <c r="C24" s="20">
        <f>VLOOKUP(C23,ESCALA_IEP!A2:B142,2,FALSE)</f>
        <v>5.9</v>
      </c>
    </row>
    <row r="25" spans="1:11" ht="15.75" customHeight="1"/>
    <row r="26" spans="1:11" ht="15.75" customHeight="1"/>
    <row r="27" spans="1:11" ht="15.75" customHeight="1">
      <c r="A27" s="53" t="s">
        <v>16</v>
      </c>
      <c r="B27" s="49" t="s">
        <v>17</v>
      </c>
      <c r="C27" s="50" t="str">
        <f>$B$4</f>
        <v>MENESES CACERES WALTER ANDRES</v>
      </c>
      <c r="D27" s="74"/>
      <c r="E27" s="74"/>
      <c r="F27" s="74"/>
      <c r="G27" s="74"/>
      <c r="H27" s="74"/>
      <c r="I27" s="74"/>
      <c r="J27" s="74"/>
      <c r="K27" s="75"/>
    </row>
    <row r="28" spans="1:11" ht="15.75" customHeight="1">
      <c r="A28" s="72"/>
      <c r="B28" s="69"/>
      <c r="C28" s="76"/>
      <c r="D28" s="77"/>
      <c r="E28" s="77"/>
      <c r="F28" s="77"/>
      <c r="G28" s="77"/>
      <c r="H28" s="77"/>
      <c r="I28" s="77"/>
      <c r="J28" s="77"/>
      <c r="K28" s="78"/>
    </row>
    <row r="29" spans="1:11" ht="15.75" customHeight="1">
      <c r="A29" s="72"/>
      <c r="B29" s="14" t="s">
        <v>18</v>
      </c>
      <c r="C29" s="51" t="s">
        <v>7</v>
      </c>
      <c r="D29" s="52" t="s">
        <v>8</v>
      </c>
      <c r="E29" s="70"/>
      <c r="F29" s="70"/>
      <c r="G29" s="70"/>
      <c r="H29" s="70"/>
      <c r="I29" s="70"/>
      <c r="J29" s="70"/>
      <c r="K29" s="71"/>
    </row>
    <row r="30" spans="1:11" ht="15.75" customHeight="1">
      <c r="A30" s="72"/>
      <c r="B30" s="15" t="s">
        <v>9</v>
      </c>
      <c r="C30" s="69"/>
      <c r="D30" s="52" t="s">
        <v>10</v>
      </c>
      <c r="E30" s="71"/>
      <c r="F30" s="52" t="s">
        <v>11</v>
      </c>
      <c r="G30" s="71"/>
      <c r="H30" s="52" t="s">
        <v>19</v>
      </c>
      <c r="I30" s="71"/>
      <c r="J30" s="52" t="s">
        <v>13</v>
      </c>
      <c r="K30" s="71"/>
    </row>
    <row r="31" spans="1:11" ht="24.6" customHeight="1">
      <c r="A31" s="72"/>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2"/>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2"/>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2"/>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9"/>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16</v>
      </c>
      <c r="B39" s="49" t="s">
        <v>17</v>
      </c>
      <c r="C39" s="50" t="str">
        <f>B5</f>
        <v>MUÑOZ PEÑA MAURICIO JOAQUIN</v>
      </c>
      <c r="D39" s="74"/>
      <c r="E39" s="74"/>
      <c r="F39" s="74"/>
      <c r="G39" s="74"/>
      <c r="H39" s="74"/>
      <c r="I39" s="74"/>
      <c r="J39" s="74"/>
      <c r="K39" s="75"/>
    </row>
    <row r="40" spans="1:11" ht="15.75" customHeight="1">
      <c r="A40" s="72"/>
      <c r="B40" s="69"/>
      <c r="C40" s="76"/>
      <c r="D40" s="77"/>
      <c r="E40" s="77"/>
      <c r="F40" s="77"/>
      <c r="G40" s="77"/>
      <c r="H40" s="77"/>
      <c r="I40" s="77"/>
      <c r="J40" s="77"/>
      <c r="K40" s="78"/>
    </row>
    <row r="41" spans="1:11" ht="15.75" customHeight="1">
      <c r="A41" s="72"/>
      <c r="B41" s="14" t="s">
        <v>18</v>
      </c>
      <c r="C41" s="51" t="s">
        <v>7</v>
      </c>
      <c r="D41" s="52" t="s">
        <v>8</v>
      </c>
      <c r="E41" s="70"/>
      <c r="F41" s="70"/>
      <c r="G41" s="70"/>
      <c r="H41" s="70"/>
      <c r="I41" s="70"/>
      <c r="J41" s="70"/>
      <c r="K41" s="71"/>
    </row>
    <row r="42" spans="1:11" ht="15.75" customHeight="1">
      <c r="A42" s="72"/>
      <c r="B42" s="15" t="s">
        <v>9</v>
      </c>
      <c r="C42" s="69"/>
      <c r="D42" s="52" t="s">
        <v>10</v>
      </c>
      <c r="E42" s="71"/>
      <c r="F42" s="52" t="s">
        <v>11</v>
      </c>
      <c r="G42" s="71"/>
      <c r="H42" s="52" t="s">
        <v>19</v>
      </c>
      <c r="I42" s="71"/>
      <c r="J42" s="52" t="s">
        <v>13</v>
      </c>
      <c r="K42" s="71"/>
    </row>
    <row r="43" spans="1:11" ht="25.9" customHeight="1">
      <c r="A43" s="72"/>
      <c r="B43" s="34" t="str">
        <f>RUBRICA!A7</f>
        <v>3. Relaciona el Proyecto APT con sus intereses profesionales. *</v>
      </c>
      <c r="C43" s="32" t="s">
        <v>11</v>
      </c>
      <c r="D43" s="16" t="str">
        <f t="shared" ref="D43:D44" si="31">IF($C43=CL,"X","")</f>
        <v/>
      </c>
      <c r="E43" s="16" t="str">
        <f>IF(D43="X",100*0.1,"")</f>
        <v/>
      </c>
      <c r="F43" s="16" t="str">
        <f t="shared" ref="F43:F44" si="32">IF($C43=L,"X","")</f>
        <v>X</v>
      </c>
      <c r="G43" s="16">
        <f>IF(F43="X",60*0.1,"")</f>
        <v>6</v>
      </c>
      <c r="H43" s="16" t="str">
        <f t="shared" ref="H43:H44" si="33">IF($C43=ML,"X","")</f>
        <v/>
      </c>
      <c r="I43" s="16" t="str">
        <f>IF(H43="X",30*0.1,"")</f>
        <v/>
      </c>
      <c r="J43" s="16" t="str">
        <f t="shared" ref="J43:J44" si="34">IF($C43=NL,"X","")</f>
        <v/>
      </c>
      <c r="K43" s="16" t="str">
        <f t="shared" ref="K43:K44" si="35">IF($J43="X",0,"")</f>
        <v/>
      </c>
    </row>
    <row r="44" spans="1:11" ht="24">
      <c r="A44" s="72"/>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2"/>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2"/>
      <c r="B46" s="21" t="s">
        <v>20</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c r="A47" s="69"/>
      <c r="B47" s="17" t="s">
        <v>15</v>
      </c>
      <c r="C47" s="20">
        <f>VLOOKUP(C46,ESCALA_TRAB_EQUIP!A2:B62,2,FALSE)</f>
        <v>6</v>
      </c>
    </row>
    <row r="48" spans="1:11" ht="15.75" customHeight="1">
      <c r="B48" s="22"/>
      <c r="C48" s="23"/>
    </row>
    <row r="49" spans="1:11" ht="15.75" customHeight="1">
      <c r="B49" s="22"/>
      <c r="C49" s="23"/>
    </row>
    <row r="50" spans="1:11" ht="15.75" customHeight="1">
      <c r="A50" s="53" t="s">
        <v>16</v>
      </c>
      <c r="B50" s="49" t="s">
        <v>17</v>
      </c>
      <c r="C50" s="50" t="str">
        <f>B6</f>
        <v>TAPIA AMPUERO MATIAS MARCELO</v>
      </c>
      <c r="D50" s="74"/>
      <c r="E50" s="74"/>
      <c r="F50" s="74"/>
      <c r="G50" s="74"/>
      <c r="H50" s="74"/>
      <c r="I50" s="74"/>
      <c r="J50" s="74"/>
      <c r="K50" s="75"/>
    </row>
    <row r="51" spans="1:11" ht="15.75" customHeight="1">
      <c r="A51" s="72"/>
      <c r="B51" s="69"/>
      <c r="C51" s="76"/>
      <c r="D51" s="77"/>
      <c r="E51" s="77"/>
      <c r="F51" s="77"/>
      <c r="G51" s="77"/>
      <c r="H51" s="77"/>
      <c r="I51" s="77"/>
      <c r="J51" s="77"/>
      <c r="K51" s="78"/>
    </row>
    <row r="52" spans="1:11" ht="15.75" customHeight="1">
      <c r="A52" s="72"/>
      <c r="B52" s="14" t="s">
        <v>18</v>
      </c>
      <c r="C52" s="51" t="s">
        <v>7</v>
      </c>
      <c r="D52" s="52" t="s">
        <v>8</v>
      </c>
      <c r="E52" s="70"/>
      <c r="F52" s="70"/>
      <c r="G52" s="70"/>
      <c r="H52" s="70"/>
      <c r="I52" s="70"/>
      <c r="J52" s="70"/>
      <c r="K52" s="71"/>
    </row>
    <row r="53" spans="1:11" ht="15.75" customHeight="1">
      <c r="A53" s="72"/>
      <c r="B53" s="15" t="s">
        <v>9</v>
      </c>
      <c r="C53" s="69"/>
      <c r="D53" s="52" t="s">
        <v>10</v>
      </c>
      <c r="E53" s="71"/>
      <c r="F53" s="52" t="s">
        <v>11</v>
      </c>
      <c r="G53" s="71"/>
      <c r="H53" s="52" t="s">
        <v>19</v>
      </c>
      <c r="I53" s="71"/>
      <c r="J53" s="52" t="s">
        <v>13</v>
      </c>
      <c r="K53" s="71"/>
    </row>
    <row r="54" spans="1:11" ht="25.9" customHeight="1">
      <c r="A54" s="72"/>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2"/>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2"/>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2"/>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9"/>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21</v>
      </c>
      <c r="B2" s="62" t="s">
        <v>22</v>
      </c>
      <c r="C2" s="63"/>
      <c r="D2" s="63"/>
      <c r="E2" s="64"/>
      <c r="F2" s="59" t="s">
        <v>23</v>
      </c>
    </row>
    <row r="3" spans="1:6">
      <c r="A3" s="60"/>
      <c r="B3" s="65" t="s">
        <v>24</v>
      </c>
      <c r="C3" s="65" t="s">
        <v>25</v>
      </c>
      <c r="D3" s="25" t="s">
        <v>26</v>
      </c>
      <c r="E3" s="27" t="s">
        <v>13</v>
      </c>
      <c r="F3" s="60"/>
    </row>
    <row r="4" spans="1:6" ht="57.6" customHeight="1" thickBot="1">
      <c r="A4" s="61"/>
      <c r="B4" s="66"/>
      <c r="C4" s="66"/>
      <c r="D4" s="26">
        <v>-0.3</v>
      </c>
      <c r="E4" s="26">
        <v>0</v>
      </c>
      <c r="F4" s="61"/>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95</v>
      </c>
      <c r="B1" s="7" t="s">
        <v>14</v>
      </c>
      <c r="C1" s="8"/>
      <c r="D1" s="8"/>
      <c r="E1" s="9"/>
    </row>
    <row r="2" spans="1:5" ht="45.75" thickBot="1">
      <c r="A2" s="79"/>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2026-09-01T18:11:54Z</dcterms:modified>
  <cp:category/>
  <cp:contentStatus/>
</cp:coreProperties>
</file>