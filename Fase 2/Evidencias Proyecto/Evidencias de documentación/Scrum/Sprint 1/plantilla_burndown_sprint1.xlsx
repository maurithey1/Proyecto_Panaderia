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d.docs.live.net/a987dd038bdb4976/Escritorio/"/>
    </mc:Choice>
  </mc:AlternateContent>
  <xr:revisionPtr revIDLastSave="32" documentId="8_{05C071BE-50BD-4F74-B009-C314F2E83C0A}" xr6:coauthVersionLast="47" xr6:coauthVersionMax="47" xr10:uidLastSave="{29E9B52A-8507-4967-96BC-73F6E9C7A19B}"/>
  <bookViews>
    <workbookView xWindow="-120" yWindow="-120" windowWidth="20730" windowHeight="11160" xr2:uid="{D28B4F66-599F-4CF5-A215-9C5D1D0B804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1" l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C15" i="1"/>
  <c r="Q6" i="1"/>
  <c r="Q7" i="1"/>
  <c r="Q8" i="1"/>
  <c r="Q9" i="1"/>
  <c r="Q10" i="1"/>
  <c r="Q11" i="1"/>
  <c r="Q5" i="1"/>
  <c r="B15" i="1"/>
  <c r="B13" i="1"/>
  <c r="C13" i="1" s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</calcChain>
</file>

<file path=xl/sharedStrings.xml><?xml version="1.0" encoding="utf-8"?>
<sst xmlns="http://schemas.openxmlformats.org/spreadsheetml/2006/main" count="15" uniqueCount="15">
  <si>
    <t>CONTROL DEL SPRINT</t>
  </si>
  <si>
    <t>SPRINT 1</t>
  </si>
  <si>
    <t>Historias de usuario o spike</t>
  </si>
  <si>
    <t>Horas estimadas</t>
  </si>
  <si>
    <t>Dia</t>
  </si>
  <si>
    <t>Total</t>
  </si>
  <si>
    <t>Como usuario, necesito iniciar sesión con mi correo y contraseña para acceder a las funciones correspondientes a mi rol.</t>
  </si>
  <si>
    <t>Como administrador, necesito gestionar cuentas de usuario y roles para controlar los permisos de administradores, cajeros y clientes.</t>
  </si>
  <si>
    <t>Como cliente, necesito registrar mi perfil y direcciones para comprar en línea y guardar mis datos de despacho.</t>
  </si>
  <si>
    <t>Como usuario, necesito solicitar la recuperación de mi clave para restablecer el acceso si la olvido.</t>
  </si>
  <si>
    <t>Como cliente, necesito navegar por categorías y horarios en el catálogo web para consultar los productos disponibles según el turno de venta.</t>
  </si>
  <si>
    <t>Como cliente, necesito buscar productos por nombre para encontrarlos sin recorrer todas las categorías.</t>
  </si>
  <si>
    <t>Como cliente, necesito consultar la dirección y horarios del local para planificar mis retiros o visitas.</t>
  </si>
  <si>
    <t>Reales producto por realizar</t>
  </si>
  <si>
    <t>Estimada producto por realizar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</si>
</sst>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/>
    <xf numFmtId="0" fontId="3" fillId="3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Burndown</a:t>
            </a:r>
            <a:r>
              <a:rPr lang="es-CL" baseline="0"/>
              <a:t> Trabajo Pendiente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Hoja1!$A$13</c:f>
              <c:strCache>
                <c:ptCount val="1"/>
                <c:pt idx="0">
                  <c:v>Reales producto por realizar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</c:numLit>
          </c:cat>
          <c:val>
            <c:numRef>
              <c:f>Hoja1!$B$13:$P$13</c:f>
              <c:numCache>
                <c:formatCode>General</c:formatCode>
                <c:ptCount val="15"/>
                <c:pt idx="0">
                  <c:v>86</c:v>
                </c:pt>
                <c:pt idx="1">
                  <c:v>78</c:v>
                </c:pt>
                <c:pt idx="2">
                  <c:v>67</c:v>
                </c:pt>
                <c:pt idx="3">
                  <c:v>55</c:v>
                </c:pt>
                <c:pt idx="4">
                  <c:v>48</c:v>
                </c:pt>
                <c:pt idx="5">
                  <c:v>39</c:v>
                </c:pt>
                <c:pt idx="6">
                  <c:v>33</c:v>
                </c:pt>
                <c:pt idx="7">
                  <c:v>31</c:v>
                </c:pt>
                <c:pt idx="8">
                  <c:v>24</c:v>
                </c:pt>
                <c:pt idx="9">
                  <c:v>18</c:v>
                </c:pt>
                <c:pt idx="10">
                  <c:v>15</c:v>
                </c:pt>
                <c:pt idx="11">
                  <c:v>12</c:v>
                </c:pt>
                <c:pt idx="12">
                  <c:v>11</c:v>
                </c:pt>
                <c:pt idx="13">
                  <c:v>7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6-4F48-9C30-2F9394E37C8F}"/>
            </c:ext>
          </c:extLst>
        </c:ser>
        <c:ser>
          <c:idx val="1"/>
          <c:order val="1"/>
          <c:tx>
            <c:strRef>
              <c:f>Hoja1!$A$15</c:f>
              <c:strCache>
                <c:ptCount val="1"/>
                <c:pt idx="0">
                  <c:v>Estimada producto por realizar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</c:numLit>
          </c:cat>
          <c:val>
            <c:numRef>
              <c:f>Hoja1!$B$15:$P$15</c:f>
              <c:numCache>
                <c:formatCode>0</c:formatCode>
                <c:ptCount val="15"/>
                <c:pt idx="0" formatCode="General">
                  <c:v>86</c:v>
                </c:pt>
                <c:pt idx="1">
                  <c:v>79.857142857142861</c:v>
                </c:pt>
                <c:pt idx="2">
                  <c:v>73.714285714285722</c:v>
                </c:pt>
                <c:pt idx="3">
                  <c:v>67.571428571428584</c:v>
                </c:pt>
                <c:pt idx="4">
                  <c:v>61.428571428571438</c:v>
                </c:pt>
                <c:pt idx="5">
                  <c:v>55.285714285714292</c:v>
                </c:pt>
                <c:pt idx="6">
                  <c:v>49.142857142857146</c:v>
                </c:pt>
                <c:pt idx="7">
                  <c:v>43</c:v>
                </c:pt>
                <c:pt idx="8">
                  <c:v>36.857142857142854</c:v>
                </c:pt>
                <c:pt idx="9">
                  <c:v>30.714285714285712</c:v>
                </c:pt>
                <c:pt idx="10">
                  <c:v>24.571428571428569</c:v>
                </c:pt>
                <c:pt idx="11">
                  <c:v>18.428571428571427</c:v>
                </c:pt>
                <c:pt idx="12">
                  <c:v>12.285714285714285</c:v>
                </c:pt>
                <c:pt idx="13">
                  <c:v>6.1428571428571415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6-4F48-9C30-2F9394E37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899088"/>
        <c:axId val="1554498720"/>
      </c:lineChart>
      <c:catAx>
        <c:axId val="178489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54498720"/>
        <c:crosses val="autoZero"/>
        <c:auto val="1"/>
        <c:lblAlgn val="ctr"/>
        <c:lblOffset val="100"/>
        <c:noMultiLvlLbl val="0"/>
      </c:catAx>
      <c:valAx>
        <c:axId val="15544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8489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Trabajo Pendiente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Hoja1!$A$13</c:f>
              <c:strCache>
                <c:ptCount val="1"/>
                <c:pt idx="0">
                  <c:v>Reales producto por realizar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Hoja1!$B$13:$P$13</c:f>
              <c:numCache>
                <c:formatCode>General</c:formatCode>
                <c:ptCount val="15"/>
                <c:pt idx="0">
                  <c:v>86</c:v>
                </c:pt>
                <c:pt idx="1">
                  <c:v>78</c:v>
                </c:pt>
                <c:pt idx="2">
                  <c:v>67</c:v>
                </c:pt>
                <c:pt idx="3">
                  <c:v>55</c:v>
                </c:pt>
                <c:pt idx="4">
                  <c:v>48</c:v>
                </c:pt>
                <c:pt idx="5">
                  <c:v>39</c:v>
                </c:pt>
                <c:pt idx="6">
                  <c:v>33</c:v>
                </c:pt>
                <c:pt idx="7">
                  <c:v>31</c:v>
                </c:pt>
                <c:pt idx="8">
                  <c:v>24</c:v>
                </c:pt>
                <c:pt idx="9">
                  <c:v>18</c:v>
                </c:pt>
                <c:pt idx="10">
                  <c:v>15</c:v>
                </c:pt>
                <c:pt idx="11">
                  <c:v>12</c:v>
                </c:pt>
                <c:pt idx="12">
                  <c:v>11</c:v>
                </c:pt>
                <c:pt idx="13">
                  <c:v>7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CC7-42D2-BAC9-0FED8C6F866D}"/>
            </c:ext>
          </c:extLst>
        </c:ser>
        <c:ser>
          <c:idx val="1"/>
          <c:order val="1"/>
          <c:tx>
            <c:strRef>
              <c:f>Hoja1!$A$15</c:f>
              <c:strCache>
                <c:ptCount val="1"/>
                <c:pt idx="0">
                  <c:v>Estimada producto por realizar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Hoja1!$B$15:$P$15</c:f>
              <c:numCache>
                <c:formatCode>0</c:formatCode>
                <c:ptCount val="15"/>
                <c:pt idx="0" formatCode="General">
                  <c:v>86</c:v>
                </c:pt>
                <c:pt idx="1">
                  <c:v>79.857142857142861</c:v>
                </c:pt>
                <c:pt idx="2">
                  <c:v>73.714285714285722</c:v>
                </c:pt>
                <c:pt idx="3">
                  <c:v>67.571428571428584</c:v>
                </c:pt>
                <c:pt idx="4">
                  <c:v>61.428571428571438</c:v>
                </c:pt>
                <c:pt idx="5">
                  <c:v>55.285714285714292</c:v>
                </c:pt>
                <c:pt idx="6">
                  <c:v>49.142857142857146</c:v>
                </c:pt>
                <c:pt idx="7">
                  <c:v>43</c:v>
                </c:pt>
                <c:pt idx="8">
                  <c:v>36.857142857142854</c:v>
                </c:pt>
                <c:pt idx="9">
                  <c:v>30.714285714285712</c:v>
                </c:pt>
                <c:pt idx="10">
                  <c:v>24.571428571428569</c:v>
                </c:pt>
                <c:pt idx="11">
                  <c:v>18.428571428571427</c:v>
                </c:pt>
                <c:pt idx="12">
                  <c:v>12.285714285714285</c:v>
                </c:pt>
                <c:pt idx="13">
                  <c:v>6.1428571428571415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CC7-42D2-BAC9-0FED8C6F8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527560"/>
        <c:axId val="629529608"/>
      </c:lineChart>
      <c:catAx>
        <c:axId val="629527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Djas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529608"/>
        <c:crosses val="autoZero"/>
        <c:auto val="1"/>
        <c:lblAlgn val="ctr"/>
        <c:lblOffset val="100"/>
        <c:noMultiLvlLbl val="0"/>
      </c:catAx>
      <c:valAx>
        <c:axId val="62952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52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114410</xdr:colOff>
      <xdr:row>1</xdr:row>
      <xdr:rowOff>186389</xdr:rowOff>
    </xdr:from>
    <xdr:to>
      <xdr:col>22</xdr:col>
      <xdr:colOff>305288</xdr:colOff>
      <xdr:row>8</xdr:row>
      <xdr:rowOff>415192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17227A-141E-CD40-6662-4BB886FDD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1000125</xdr:colOff>
      <xdr:row>18</xdr:row>
      <xdr:rowOff>38100</xdr:rowOff>
    </xdr:from>
    <xdr:to>
      <xdr:col>4</xdr:col>
      <xdr:colOff>323850</xdr:colOff>
      <xdr:row>32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0DD4BB-7BA9-FEC1-31D8-84D073BCBB81}"/>
            </a:ext>
            <a:ext uri="{147F2762-F138-4A5C-976F-8EAC2B608ADB}">
              <a16:predDERef xmlns:a16="http://schemas.microsoft.com/office/drawing/2014/main" pred="{4317227A-141E-CD40-6662-4BB886FDD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3CFB-8DEF-40BC-AD50-F758CC8DDB5F}">
  <dimension ref="A1:Q15"/>
  <sheetViews>
    <sheetView tabSelected="1" zoomScale="63" workbookViewId="0">
      <selection activeCell="S6" sqref="S6"/>
    </sheetView>
  </sheetViews>
  <sheetFormatPr defaultColWidth="11.42578125" defaultRowHeight="15"/>
  <cols>
    <col min="1" max="1" width="39.7109375" customWidth="1"/>
    <col min="2" max="2" width="16.140625" bestFit="1" customWidth="1"/>
  </cols>
  <sheetData>
    <row r="1" spans="1:17" ht="21">
      <c r="A1" s="1" t="s">
        <v>0</v>
      </c>
      <c r="B1" s="1" t="s">
        <v>1</v>
      </c>
    </row>
    <row r="3" spans="1:17">
      <c r="A3" s="14" t="s">
        <v>2</v>
      </c>
      <c r="B3" s="14" t="s">
        <v>3</v>
      </c>
      <c r="C3" s="13" t="s">
        <v>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 t="s">
        <v>5</v>
      </c>
    </row>
    <row r="4" spans="1:17">
      <c r="A4" s="14"/>
      <c r="B4" s="14"/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13"/>
    </row>
    <row r="5" spans="1:17" ht="57">
      <c r="A5" s="3" t="s">
        <v>6</v>
      </c>
      <c r="B5" s="8">
        <v>20</v>
      </c>
      <c r="C5" s="2">
        <v>4</v>
      </c>
      <c r="D5" s="2">
        <v>4</v>
      </c>
      <c r="E5" s="2">
        <v>4</v>
      </c>
      <c r="F5" s="2">
        <v>2</v>
      </c>
      <c r="G5" s="2">
        <v>2</v>
      </c>
      <c r="H5" s="2">
        <v>3</v>
      </c>
      <c r="I5" s="2"/>
      <c r="J5" s="2"/>
      <c r="K5" s="2"/>
      <c r="L5" s="2"/>
      <c r="M5" s="2"/>
      <c r="N5" s="2"/>
      <c r="O5" s="2"/>
      <c r="P5" s="2">
        <v>1</v>
      </c>
      <c r="Q5" s="2">
        <f>SUM(C5:P5)</f>
        <v>20</v>
      </c>
    </row>
    <row r="6" spans="1:17" ht="57">
      <c r="A6" s="3" t="s">
        <v>7</v>
      </c>
      <c r="B6" s="8">
        <v>16</v>
      </c>
      <c r="C6" s="2"/>
      <c r="D6" s="2"/>
      <c r="E6" s="2"/>
      <c r="F6" s="2"/>
      <c r="G6" s="2"/>
      <c r="H6" s="2"/>
      <c r="I6" s="2"/>
      <c r="J6" s="2">
        <v>4</v>
      </c>
      <c r="K6" s="2">
        <v>4</v>
      </c>
      <c r="L6" s="2">
        <v>3</v>
      </c>
      <c r="M6" s="2">
        <v>3</v>
      </c>
      <c r="N6" s="2">
        <v>1</v>
      </c>
      <c r="O6" s="2"/>
      <c r="P6" s="2">
        <v>1</v>
      </c>
      <c r="Q6" s="2">
        <f t="shared" ref="Q6:Q11" si="0">SUM(C6:P6)</f>
        <v>16</v>
      </c>
    </row>
    <row r="7" spans="1:17" ht="42.75">
      <c r="A7" s="3" t="s">
        <v>8</v>
      </c>
      <c r="B7" s="8">
        <v>12</v>
      </c>
      <c r="C7" s="2"/>
      <c r="D7" s="2">
        <v>2</v>
      </c>
      <c r="E7" s="2">
        <v>2</v>
      </c>
      <c r="F7" s="2"/>
      <c r="G7" s="2">
        <v>2</v>
      </c>
      <c r="H7" s="2">
        <v>2</v>
      </c>
      <c r="I7" s="2"/>
      <c r="J7" s="2">
        <v>3</v>
      </c>
      <c r="K7" s="2"/>
      <c r="L7" s="2"/>
      <c r="M7" s="2"/>
      <c r="N7" s="2"/>
      <c r="O7" s="2"/>
      <c r="P7" s="2">
        <v>1</v>
      </c>
      <c r="Q7" s="2">
        <f t="shared" si="0"/>
        <v>12</v>
      </c>
    </row>
    <row r="8" spans="1:17" ht="42.75">
      <c r="A8" s="3" t="s">
        <v>9</v>
      </c>
      <c r="B8" s="8">
        <v>8</v>
      </c>
      <c r="C8" s="2"/>
      <c r="D8" s="2"/>
      <c r="E8" s="2"/>
      <c r="F8" s="2"/>
      <c r="G8" s="2"/>
      <c r="H8" s="2"/>
      <c r="I8" s="2">
        <v>1</v>
      </c>
      <c r="J8" s="2"/>
      <c r="K8" s="2">
        <v>2</v>
      </c>
      <c r="L8" s="2"/>
      <c r="M8" s="2"/>
      <c r="N8" s="2"/>
      <c r="O8" s="2">
        <v>4</v>
      </c>
      <c r="P8" s="2">
        <v>1</v>
      </c>
      <c r="Q8" s="2">
        <f t="shared" si="0"/>
        <v>8</v>
      </c>
    </row>
    <row r="9" spans="1:17" ht="57">
      <c r="A9" s="4" t="s">
        <v>10</v>
      </c>
      <c r="B9" s="8">
        <v>12</v>
      </c>
      <c r="C9" s="2">
        <v>4</v>
      </c>
      <c r="D9" s="2"/>
      <c r="E9" s="2">
        <v>4</v>
      </c>
      <c r="F9" s="2"/>
      <c r="G9" s="2">
        <v>3</v>
      </c>
      <c r="H9" s="2"/>
      <c r="I9" s="2"/>
      <c r="J9" s="2"/>
      <c r="K9" s="2"/>
      <c r="L9" s="2"/>
      <c r="M9" s="2"/>
      <c r="N9" s="2"/>
      <c r="O9" s="2"/>
      <c r="P9" s="2">
        <v>1</v>
      </c>
      <c r="Q9" s="2">
        <f t="shared" si="0"/>
        <v>12</v>
      </c>
    </row>
    <row r="10" spans="1:17" ht="42.75">
      <c r="A10" s="6" t="s">
        <v>11</v>
      </c>
      <c r="B10" s="8">
        <v>8</v>
      </c>
      <c r="C10" s="7"/>
      <c r="D10" s="7">
        <v>3</v>
      </c>
      <c r="E10" s="7"/>
      <c r="F10" s="7">
        <v>3</v>
      </c>
      <c r="G10" s="7"/>
      <c r="H10" s="7">
        <v>1</v>
      </c>
      <c r="I10" s="7"/>
      <c r="J10" s="7"/>
      <c r="K10" s="7"/>
      <c r="L10" s="7"/>
      <c r="M10" s="7"/>
      <c r="N10" s="7"/>
      <c r="O10" s="7"/>
      <c r="P10" s="7">
        <v>1</v>
      </c>
      <c r="Q10" s="2">
        <f t="shared" si="0"/>
        <v>8</v>
      </c>
    </row>
    <row r="11" spans="1:17" ht="42.75">
      <c r="A11" s="5" t="s">
        <v>12</v>
      </c>
      <c r="B11" s="8">
        <v>10</v>
      </c>
      <c r="C11" s="2"/>
      <c r="D11" s="2">
        <v>2</v>
      </c>
      <c r="E11" s="2">
        <v>2</v>
      </c>
      <c r="F11" s="2">
        <v>2</v>
      </c>
      <c r="G11" s="2">
        <v>2</v>
      </c>
      <c r="H11" s="2"/>
      <c r="I11" s="2">
        <v>1</v>
      </c>
      <c r="J11" s="2"/>
      <c r="K11" s="2"/>
      <c r="L11" s="2"/>
      <c r="M11" s="2"/>
      <c r="N11" s="2"/>
      <c r="O11" s="2"/>
      <c r="P11" s="2">
        <v>1</v>
      </c>
      <c r="Q11" s="2">
        <f t="shared" si="0"/>
        <v>10</v>
      </c>
    </row>
    <row r="13" spans="1:17">
      <c r="A13" s="9" t="s">
        <v>13</v>
      </c>
      <c r="B13" s="11">
        <f>SUM(B5:B11)</f>
        <v>86</v>
      </c>
      <c r="C13">
        <f>B13-SUM(C5:C11)</f>
        <v>78</v>
      </c>
      <c r="D13">
        <f t="shared" ref="D13:P13" si="1">C13-SUM(D5:D11)</f>
        <v>67</v>
      </c>
      <c r="E13">
        <f t="shared" si="1"/>
        <v>55</v>
      </c>
      <c r="F13">
        <f t="shared" si="1"/>
        <v>48</v>
      </c>
      <c r="G13">
        <f t="shared" si="1"/>
        <v>39</v>
      </c>
      <c r="H13">
        <f t="shared" si="1"/>
        <v>33</v>
      </c>
      <c r="I13">
        <f t="shared" si="1"/>
        <v>31</v>
      </c>
      <c r="J13">
        <f t="shared" si="1"/>
        <v>24</v>
      </c>
      <c r="K13">
        <f t="shared" si="1"/>
        <v>18</v>
      </c>
      <c r="L13">
        <f t="shared" si="1"/>
        <v>15</v>
      </c>
      <c r="M13">
        <f t="shared" si="1"/>
        <v>12</v>
      </c>
      <c r="N13">
        <f t="shared" si="1"/>
        <v>11</v>
      </c>
      <c r="O13">
        <f t="shared" si="1"/>
        <v>7</v>
      </c>
      <c r="P13">
        <f t="shared" si="1"/>
        <v>0</v>
      </c>
    </row>
    <row r="15" spans="1:17">
      <c r="A15" s="9" t="s">
        <v>14</v>
      </c>
      <c r="B15" s="10">
        <f>SUM(B5:B11)</f>
        <v>86</v>
      </c>
      <c r="C15" s="12">
        <f>B15-(SUM($B$5:$B$11)/14)</f>
        <v>79.857142857142861</v>
      </c>
      <c r="D15" s="12">
        <f t="shared" ref="D15:P15" si="2">C15-(SUM($B$5:$B$11)/14)</f>
        <v>73.714285714285722</v>
      </c>
      <c r="E15" s="12">
        <f t="shared" si="2"/>
        <v>67.571428571428584</v>
      </c>
      <c r="F15" s="12">
        <f t="shared" si="2"/>
        <v>61.428571428571438</v>
      </c>
      <c r="G15" s="12">
        <f t="shared" si="2"/>
        <v>55.285714285714292</v>
      </c>
      <c r="H15" s="12">
        <f t="shared" si="2"/>
        <v>49.142857142857146</v>
      </c>
      <c r="I15" s="12">
        <f t="shared" si="2"/>
        <v>43</v>
      </c>
      <c r="J15" s="12">
        <f t="shared" si="2"/>
        <v>36.857142857142854</v>
      </c>
      <c r="K15" s="12">
        <f t="shared" si="2"/>
        <v>30.714285714285712</v>
      </c>
      <c r="L15" s="12">
        <f t="shared" si="2"/>
        <v>24.571428571428569</v>
      </c>
      <c r="M15" s="12">
        <f t="shared" si="2"/>
        <v>18.428571428571427</v>
      </c>
      <c r="N15" s="12">
        <f t="shared" si="2"/>
        <v>12.285714285714285</v>
      </c>
      <c r="O15" s="12">
        <f t="shared" si="2"/>
        <v>6.1428571428571415</v>
      </c>
      <c r="P15" s="12">
        <f t="shared" si="2"/>
        <v>0</v>
      </c>
    </row>
  </sheetData>
  <mergeCells count="4">
    <mergeCell ref="A3:A4"/>
    <mergeCell ref="B3:B4"/>
    <mergeCell ref="C3:P3"/>
    <mergeCell ref="Q3:Q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70C06A7B5FC147AAC60E5EE0AFD191" ma:contentTypeVersion="11" ma:contentTypeDescription="Crear nuevo documento." ma:contentTypeScope="" ma:versionID="c259729e50718dac30689029d0c35edf">
  <xsd:schema xmlns:xsd="http://www.w3.org/2001/XMLSchema" xmlns:xs="http://www.w3.org/2001/XMLSchema" xmlns:p="http://schemas.microsoft.com/office/2006/metadata/properties" xmlns:ns2="b5e4d149-0cd8-42fa-aa84-3527298a6f37" xmlns:ns3="8b58b98d-0d1c-4b39-ab1a-27f5542ec9a3" targetNamespace="http://schemas.microsoft.com/office/2006/metadata/properties" ma:root="true" ma:fieldsID="ec66b418ec090a2891392b607444dacf" ns2:_="" ns3:_="">
    <xsd:import namespace="b5e4d149-0cd8-42fa-aa84-3527298a6f37"/>
    <xsd:import namespace="8b58b98d-0d1c-4b39-ab1a-27f5542ec9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e4d149-0cd8-42fa-aa84-3527298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8b98d-0d1c-4b39-ab1a-27f5542ec9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de5500-a711-42c5-a217-85ff2e22f868}" ma:internalName="TaxCatchAll" ma:showField="CatchAllData" ma:web="8b58b98d-0d1c-4b39-ab1a-27f5542ec9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58b98d-0d1c-4b39-ab1a-27f5542ec9a3" xsi:nil="true"/>
    <lcf76f155ced4ddcb4097134ff3c332f xmlns="b5e4d149-0cd8-42fa-aa84-3527298a6f3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699762-833E-44FE-81F8-531730955781}"/>
</file>

<file path=customXml/itemProps2.xml><?xml version="1.0" encoding="utf-8"?>
<ds:datastoreItem xmlns:ds="http://schemas.openxmlformats.org/officeDocument/2006/customXml" ds:itemID="{EF38167D-4675-48D3-959B-5B44A4DD163B}"/>
</file>

<file path=customXml/itemProps3.xml><?xml version="1.0" encoding="utf-8"?>
<ds:datastoreItem xmlns:ds="http://schemas.openxmlformats.org/officeDocument/2006/customXml" ds:itemID="{2E8FC254-9627-4F2A-91CE-C3EA4A90A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MATIAS MARCELO TAPIA AMPUERO</dc:creator>
  <cp:keywords/>
  <dc:description/>
  <cp:lastModifiedBy>MATIAS MARCELO TAPIA AMPUERO</cp:lastModifiedBy>
  <cp:revision/>
  <dcterms:created xsi:type="dcterms:W3CDTF">2026-10-13T17:09:20Z</dcterms:created>
  <dcterms:modified xsi:type="dcterms:W3CDTF">2026-10-13T23:51:56Z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0x0101007F70C06A7B5FC147AAC60E5EE0AFD191</vt:lpwstr>
  </property>
  <property fmtid="{D5CDD505-2E9C-101B-9397-08002B2CF9AE}" pid="3" name="MediaServiceImageTags">
    <vt:lpwstr/>
  </property>
</Properties>
</file>