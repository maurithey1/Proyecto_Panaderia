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87dd038bdb4976/Escritorio/"/>
    </mc:Choice>
  </mc:AlternateContent>
  <xr:revisionPtr revIDLastSave="0" documentId="8_{F88C0A05-7ECE-4D9D-BB27-277B18842E11}" xr6:coauthVersionLast="47" xr6:coauthVersionMax="47" xr10:uidLastSave="{00000000-0000-0000-0000-000000000000}"/>
  <bookViews>
    <workbookView xWindow="-120" yWindow="-120" windowWidth="20730" windowHeight="11160" xr2:uid="{D28B4F66-599F-4CF5-A215-9C5D1D0B80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" i="1" l="1"/>
  <c r="Q7" i="1"/>
  <c r="Q9" i="1"/>
  <c r="Q5" i="1"/>
  <c r="B13" i="1"/>
  <c r="C13" i="1" s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B11" i="1"/>
  <c r="C11" i="1" s="1"/>
  <c r="D11" i="1" s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</calcChain>
</file>

<file path=xl/sharedStrings.xml><?xml version="1.0" encoding="utf-8"?>
<sst xmlns="http://schemas.openxmlformats.org/spreadsheetml/2006/main" count="13" uniqueCount="13">
  <si>
    <t>CONTROL DEL SPRINT</t>
  </si>
  <si>
    <t>Historias de usuario o spike</t>
  </si>
  <si>
    <t>Horas estimadas</t>
  </si>
  <si>
    <t>Dia</t>
  </si>
  <si>
    <t>Reales producto por realizar</t>
  </si>
  <si>
    <t>Estimada producto por realizar</t>
  </si>
  <si>
    <t>Total</t>
  </si>
  <si>
    <t>Como administrador, necesito registrar la producción diaria para actualizar el stock de productos horneados.</t>
  </si>
  <si>
    <t>Como administrador, necesito gestionar productos y categorías del catálogo para publicar precios, imágenes y descripciones.</t>
  </si>
  <si>
    <t>Como cajero, necesito registrar ventas presenciales en el punto de venta para cobrar rápidamente y calcular el vuelto exacto.</t>
  </si>
  <si>
    <t>Como cajero, necesito cerrar la caja al finalizar el turno para verificar la cuadratura e identificar sobrantes o faltantes.</t>
  </si>
  <si>
    <t>Como cajero, necesito generar un comprobante interno de compra en PDF para entregar respaldo de la transacción al cliente.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</si>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</sst>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1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Burndown</a:t>
            </a:r>
            <a:r>
              <a:rPr lang="es-CL" baseline="0"/>
              <a:t> Trabajo Pendiente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Hoja1!$A$11</c:f>
              <c:strCache>
                <c:ptCount val="1"/>
                <c:pt idx="0">
                  <c:v>Reales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Hoja1!$B$11:$P$11</c:f>
              <c:numCache>
                <c:formatCode>General</c:formatCode>
                <c:ptCount val="15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83</c:v>
                </c:pt>
                <c:pt idx="5">
                  <c:v>77</c:v>
                </c:pt>
                <c:pt idx="6">
                  <c:v>71</c:v>
                </c:pt>
                <c:pt idx="7">
                  <c:v>71</c:v>
                </c:pt>
                <c:pt idx="8">
                  <c:v>69</c:v>
                </c:pt>
                <c:pt idx="9">
                  <c:v>65</c:v>
                </c:pt>
                <c:pt idx="10">
                  <c:v>61</c:v>
                </c:pt>
                <c:pt idx="11">
                  <c:v>58</c:v>
                </c:pt>
                <c:pt idx="12">
                  <c:v>56</c:v>
                </c:pt>
                <c:pt idx="13">
                  <c:v>55</c:v>
                </c:pt>
                <c:pt idx="1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6-4F48-9C30-2F9394E37C8F}"/>
            </c:ext>
          </c:extLst>
        </c:ser>
        <c:ser>
          <c:idx val="1"/>
          <c:order val="1"/>
          <c:tx>
            <c:strRef>
              <c:f>Hoja1!$A$13</c:f>
              <c:strCache>
                <c:ptCount val="1"/>
                <c:pt idx="0">
                  <c:v>Estimada producto por realizar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Hoja1!$B$13:$P$13</c:f>
              <c:numCache>
                <c:formatCode>0</c:formatCode>
                <c:ptCount val="15"/>
                <c:pt idx="0" formatCode="General">
                  <c:v>100</c:v>
                </c:pt>
                <c:pt idx="1">
                  <c:v>92.857142857142861</c:v>
                </c:pt>
                <c:pt idx="2">
                  <c:v>85.714285714285722</c:v>
                </c:pt>
                <c:pt idx="3">
                  <c:v>78.571428571428584</c:v>
                </c:pt>
                <c:pt idx="4">
                  <c:v>71.428571428571445</c:v>
                </c:pt>
                <c:pt idx="5">
                  <c:v>64.285714285714306</c:v>
                </c:pt>
                <c:pt idx="6">
                  <c:v>57.14285714285716</c:v>
                </c:pt>
                <c:pt idx="7">
                  <c:v>50.000000000000014</c:v>
                </c:pt>
                <c:pt idx="8">
                  <c:v>42.857142857142868</c:v>
                </c:pt>
                <c:pt idx="9">
                  <c:v>35.714285714285722</c:v>
                </c:pt>
                <c:pt idx="10">
                  <c:v>28.57142857142858</c:v>
                </c:pt>
                <c:pt idx="11">
                  <c:v>21.428571428571438</c:v>
                </c:pt>
                <c:pt idx="12">
                  <c:v>14.285714285714295</c:v>
                </c:pt>
                <c:pt idx="13">
                  <c:v>7.1428571428571521</c:v>
                </c:pt>
                <c:pt idx="14">
                  <c:v>8.8817841970012523E-15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6-4F48-9C30-2F9394E37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899088"/>
        <c:axId val="1554498720"/>
      </c:lineChart>
      <c:catAx>
        <c:axId val="178489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54498720"/>
        <c:crosses val="autoZero"/>
        <c:auto val="1"/>
        <c:lblAlgn val="ctr"/>
        <c:lblOffset val="100"/>
        <c:noMultiLvlLbl val="0"/>
      </c:catAx>
      <c:valAx>
        <c:axId val="15544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8489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114410</xdr:colOff>
      <xdr:row>1</xdr:row>
      <xdr:rowOff>186389</xdr:rowOff>
    </xdr:from>
    <xdr:to>
      <xdr:col>22</xdr:col>
      <xdr:colOff>305288</xdr:colOff>
      <xdr:row>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17227A-141E-CD40-6662-4BB886FDD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3CFB-8DEF-40BC-AD50-F758CC8DDB5F}">
  <dimension ref="A1:Q13"/>
  <sheetViews>
    <sheetView tabSelected="1" zoomScale="60" workbookViewId="0">
      <selection sqref="A1:Q13"/>
    </sheetView>
  </sheetViews>
  <sheetFormatPr baseColWidth="10" defaultRowHeight="15" x14ac:dyDescent="0.25"/>
  <cols>
    <col min="1" max="1" width="39.7109375" customWidth="1"/>
    <col min="2" max="2" width="16.140625" bestFit="1" customWidth="1"/>
  </cols>
  <sheetData>
    <row r="1" spans="1:17" ht="21" x14ac:dyDescent="0.35">
      <c r="A1" s="1" t="s">
        <v>0</v>
      </c>
      <c r="B1" s="1" t="s">
        <v>12</v>
      </c>
    </row>
    <row r="3" spans="1:17" x14ac:dyDescent="0.25">
      <c r="A3" s="9" t="s">
        <v>1</v>
      </c>
      <c r="B3" s="9" t="s">
        <v>2</v>
      </c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 t="s">
        <v>6</v>
      </c>
    </row>
    <row r="4" spans="1:17" x14ac:dyDescent="0.25">
      <c r="A4" s="9"/>
      <c r="B4" s="9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10"/>
    </row>
    <row r="5" spans="1:17" ht="42.75" x14ac:dyDescent="0.25">
      <c r="A5" s="3" t="s">
        <v>7</v>
      </c>
      <c r="B5" s="4">
        <v>24</v>
      </c>
      <c r="C5" s="2">
        <v>4</v>
      </c>
      <c r="D5" s="2">
        <v>4</v>
      </c>
      <c r="E5" s="2">
        <v>4</v>
      </c>
      <c r="F5" s="2">
        <v>3</v>
      </c>
      <c r="G5" s="2">
        <v>3</v>
      </c>
      <c r="H5" s="2">
        <v>3</v>
      </c>
      <c r="I5" s="2"/>
      <c r="J5" s="2"/>
      <c r="K5" s="2"/>
      <c r="L5" s="2"/>
      <c r="M5" s="2"/>
      <c r="N5" s="2">
        <v>1</v>
      </c>
      <c r="O5" s="2">
        <v>1</v>
      </c>
      <c r="P5" s="2">
        <v>1</v>
      </c>
      <c r="Q5" s="2">
        <f>SUM(C5:P5)</f>
        <v>24</v>
      </c>
    </row>
    <row r="6" spans="1:17" ht="60" x14ac:dyDescent="0.25">
      <c r="A6" s="11" t="s">
        <v>8</v>
      </c>
      <c r="B6" s="4">
        <v>24</v>
      </c>
      <c r="C6" s="2"/>
      <c r="D6" s="2"/>
      <c r="E6" s="2"/>
      <c r="F6" s="2">
        <v>2</v>
      </c>
      <c r="G6" s="2">
        <v>3</v>
      </c>
      <c r="H6" s="2">
        <v>3</v>
      </c>
      <c r="I6" s="2"/>
      <c r="J6" s="2">
        <v>2</v>
      </c>
      <c r="K6" s="2">
        <v>4</v>
      </c>
      <c r="L6" s="2">
        <v>4</v>
      </c>
      <c r="M6" s="2">
        <v>3</v>
      </c>
      <c r="N6" s="2">
        <v>1</v>
      </c>
      <c r="O6" s="2"/>
      <c r="P6" s="2">
        <v>2</v>
      </c>
      <c r="Q6" s="2">
        <f t="shared" ref="Q6:Q9" si="0">SUM(C6:P6)</f>
        <v>24</v>
      </c>
    </row>
    <row r="7" spans="1:17" ht="60" x14ac:dyDescent="0.25">
      <c r="A7" s="11" t="s">
        <v>9</v>
      </c>
      <c r="B7" s="4">
        <v>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f t="shared" si="0"/>
        <v>0</v>
      </c>
    </row>
    <row r="8" spans="1:17" ht="60" x14ac:dyDescent="0.25">
      <c r="A8" s="11" t="s">
        <v>10</v>
      </c>
      <c r="B8" s="4">
        <v>16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60" x14ac:dyDescent="0.25">
      <c r="A9" s="11" t="s">
        <v>11</v>
      </c>
      <c r="B9" s="4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si="0"/>
        <v>0</v>
      </c>
    </row>
    <row r="11" spans="1:17" x14ac:dyDescent="0.25">
      <c r="A11" s="5" t="s">
        <v>4</v>
      </c>
      <c r="B11" s="7">
        <f>SUM(B5:B9)</f>
        <v>100</v>
      </c>
      <c r="C11">
        <f>B11-SUM(C5:C9)</f>
        <v>96</v>
      </c>
      <c r="D11">
        <f>C11-SUM(D5:D9)</f>
        <v>92</v>
      </c>
      <c r="E11">
        <f>D11-SUM(E5:E9)</f>
        <v>88</v>
      </c>
      <c r="F11">
        <f>E11-SUM(F5:F9)</f>
        <v>83</v>
      </c>
      <c r="G11">
        <f>F11-SUM(G5:G9)</f>
        <v>77</v>
      </c>
      <c r="H11">
        <f>G11-SUM(H5:H9)</f>
        <v>71</v>
      </c>
      <c r="I11">
        <f>H11-SUM(I5:I9)</f>
        <v>71</v>
      </c>
      <c r="J11">
        <f>I11-SUM(J5:J9)</f>
        <v>69</v>
      </c>
      <c r="K11">
        <f>J11-SUM(K5:K9)</f>
        <v>65</v>
      </c>
      <c r="L11">
        <f>K11-SUM(L5:L9)</f>
        <v>61</v>
      </c>
      <c r="M11">
        <f>L11-SUM(M5:M9)</f>
        <v>58</v>
      </c>
      <c r="N11">
        <f>M11-SUM(N5:N9)</f>
        <v>56</v>
      </c>
      <c r="O11">
        <f>N11-SUM(O5:O9)</f>
        <v>55</v>
      </c>
      <c r="P11">
        <f>O11-SUM(P5:P9)</f>
        <v>52</v>
      </c>
    </row>
    <row r="13" spans="1:17" x14ac:dyDescent="0.25">
      <c r="A13" s="5" t="s">
        <v>5</v>
      </c>
      <c r="B13" s="6">
        <f>SUM(B5:B9)</f>
        <v>100</v>
      </c>
      <c r="C13" s="8">
        <f>B13-(SUM($B$5:$B$9)/14)</f>
        <v>92.857142857142861</v>
      </c>
      <c r="D13" s="8">
        <f>C13-(SUM($B$5:$B$9)/14)</f>
        <v>85.714285714285722</v>
      </c>
      <c r="E13" s="8">
        <f>D13-(SUM($B$5:$B$9)/14)</f>
        <v>78.571428571428584</v>
      </c>
      <c r="F13" s="8">
        <f>E13-(SUM($B$5:$B$9)/14)</f>
        <v>71.428571428571445</v>
      </c>
      <c r="G13" s="8">
        <f>F13-(SUM($B$5:$B$9)/14)</f>
        <v>64.285714285714306</v>
      </c>
      <c r="H13" s="8">
        <f>G13-(SUM($B$5:$B$9)/14)</f>
        <v>57.14285714285716</v>
      </c>
      <c r="I13" s="8">
        <f>H13-(SUM($B$5:$B$9)/14)</f>
        <v>50.000000000000014</v>
      </c>
      <c r="J13" s="8">
        <f>I13-(SUM($B$5:$B$9)/14)</f>
        <v>42.857142857142868</v>
      </c>
      <c r="K13" s="8">
        <f>J13-(SUM($B$5:$B$9)/14)</f>
        <v>35.714285714285722</v>
      </c>
      <c r="L13" s="8">
        <f>K13-(SUM($B$5:$B$9)/14)</f>
        <v>28.57142857142858</v>
      </c>
      <c r="M13" s="8">
        <f>L13-(SUM($B$5:$B$9)/14)</f>
        <v>21.428571428571438</v>
      </c>
      <c r="N13" s="8">
        <f>M13-(SUM($B$5:$B$9)/14)</f>
        <v>14.285714285714295</v>
      </c>
      <c r="O13" s="8">
        <f>N13-(SUM($B$5:$B$9)/14)</f>
        <v>7.1428571428571521</v>
      </c>
      <c r="P13" s="8">
        <f>O13-(SUM($B$5:$B$9)/14)</f>
        <v>8.8817841970012523E-15</v>
      </c>
    </row>
  </sheetData>
  <mergeCells count="4">
    <mergeCell ref="A3:A4"/>
    <mergeCell ref="B3:B4"/>
    <mergeCell ref="C3:P3"/>
    <mergeCell ref="Q3:Q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70C06A7B5FC147AAC60E5EE0AFD191" ma:contentTypeVersion="11" ma:contentTypeDescription="Crear nuevo documento." ma:contentTypeScope="" ma:versionID="c259729e50718dac30689029d0c35edf">
  <xsd:schema xmlns:xsd="http://www.w3.org/2001/XMLSchema" xmlns:xs="http://www.w3.org/2001/XMLSchema" xmlns:p="http://schemas.microsoft.com/office/2006/metadata/properties" xmlns:ns2="b5e4d149-0cd8-42fa-aa84-3527298a6f37" xmlns:ns3="8b58b98d-0d1c-4b39-ab1a-27f5542ec9a3" targetNamespace="http://schemas.microsoft.com/office/2006/metadata/properties" ma:root="true" ma:fieldsID="ec66b418ec090a2891392b607444dacf" ns2:_="" ns3:_="">
    <xsd:import namespace="b5e4d149-0cd8-42fa-aa84-3527298a6f37"/>
    <xsd:import namespace="8b58b98d-0d1c-4b39-ab1a-27f5542ec9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4d149-0cd8-42fa-aa84-3527298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8b98d-0d1c-4b39-ab1a-27f5542ec9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de5500-a711-42c5-a217-85ff2e22f868}" ma:internalName="TaxCatchAll" ma:showField="CatchAllData" ma:web="8b58b98d-0d1c-4b39-ab1a-27f5542ec9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58b98d-0d1c-4b39-ab1a-27f5542ec9a3" xsi:nil="true"/>
    <lcf76f155ced4ddcb4097134ff3c332f xmlns="b5e4d149-0cd8-42fa-aa84-3527298a6f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232C3A-6550-4A93-BA6A-833B0FBAA2E5}"/>
</file>

<file path=customXml/itemProps2.xml><?xml version="1.0" encoding="utf-8"?>
<ds:datastoreItem xmlns:ds="http://schemas.openxmlformats.org/officeDocument/2006/customXml" ds:itemID="{6061FAB2-5ADD-4717-A810-5F379DB8599F}"/>
</file>

<file path=customXml/itemProps3.xml><?xml version="1.0" encoding="utf-8"?>
<ds:datastoreItem xmlns:ds="http://schemas.openxmlformats.org/officeDocument/2006/customXml" ds:itemID="{0DFBF410-0ECB-47B4-8F7D-44568D71B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MARCELO TAPIA AMPUERO</dc:creator>
  <cp:lastModifiedBy>Matias Tapia</cp:lastModifiedBy>
  <dcterms:created xsi:type="dcterms:W3CDTF">2026-10-13T17:09:20Z</dcterms:created>
  <dcterms:modified xsi:type="dcterms:W3CDTF">2026-10-14T00:40:02Z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0x0101007F70C06A7B5FC147AAC60E5EE0AFD191</vt:lpwstr>
  </property>
</Properties>
</file>