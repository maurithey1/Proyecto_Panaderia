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d.docs.live.net/a987dd038bdb4976/Escritorio/"/>
    </mc:Choice>
  </mc:AlternateContent>
  <xr:revisionPtr revIDLastSave="80" documentId="8_{05C071BE-50BD-4F74-B009-C314F2E83C0A}" xr6:coauthVersionLast="47" xr6:coauthVersionMax="47" xr10:uidLastSave="{200CB7EF-4572-4350-94F3-A28FFDFCAEA3}"/>
  <bookViews>
    <workbookView minimized="1" xWindow="5115" yWindow="3045" windowWidth="15375" windowHeight="7875" xr2:uid="{D28B4F66-599F-4CF5-A215-9C5D1D0B804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6" i="1" l="1"/>
  <c r="Q7" i="1"/>
  <c r="Q8" i="1"/>
  <c r="Q5" i="1"/>
  <c r="B12" i="1"/>
  <c r="C12" i="1" s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B10" i="1"/>
  <c r="C10" i="1" s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</calcChain>
</file>

<file path=xl/sharedStrings.xml><?xml version="1.0" encoding="utf-8"?>
<sst xmlns="http://schemas.openxmlformats.org/spreadsheetml/2006/main" count="12" uniqueCount="12">
  <si>
    <t>CONTROL DEL SPRINT</t>
  </si>
  <si>
    <t>SPRINT 2</t>
  </si>
  <si>
    <t>Historias de usuario o spike</t>
  </si>
  <si>
    <t>Horas estimadas</t>
  </si>
  <si>
    <t>Dia</t>
  </si>
  <si>
    <t>Total</t>
  </si>
  <si>
    <t>Como cliente, necesito agregar productos al carrito y elegir retiro o despacho para programar cómo recibir mi compra.</t>
  </si>
  <si>
    <t>Como cliente web, necesito pagar en línea y validar mi dirección de despacho para comprar con Webpay y recibir el pedido en La Florida.</t>
  </si>
  <si>
    <t>Como cliente, necesito consultar el historial y estado de mis pedidos para saber si están en preparación o despacho.</t>
  </si>
  <si>
    <t>Como cliente no registrado, necesito comprar ingresando solo mis datos básicos de contacto y despacho para evitar crear una cuenta.</t>
  </si>
  <si>
    <t>Reales producto por realizar</t>
  </si>
  <si>
    <t>Estimada producto por realizar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</si>
</sst>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1" fontId="0" fillId="0" borderId="0" xfId="0" applyNumberFormat="1"/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Burndown</a:t>
            </a:r>
            <a:r>
              <a:rPr lang="es-CL" baseline="0"/>
              <a:t> Trabajo Pendiente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Hoja1!$A$10</c:f>
              <c:strCache>
                <c:ptCount val="1"/>
                <c:pt idx="0">
                  <c:v>Reales producto por realizar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</c:numLit>
          </c:cat>
          <c:val>
            <c:numRef>
              <c:f>Hoja1!$B$10:$P$10</c:f>
              <c:numCache>
                <c:formatCode>General</c:formatCode>
                <c:ptCount val="15"/>
                <c:pt idx="0">
                  <c:v>98</c:v>
                </c:pt>
                <c:pt idx="1">
                  <c:v>91</c:v>
                </c:pt>
                <c:pt idx="2">
                  <c:v>84</c:v>
                </c:pt>
                <c:pt idx="3">
                  <c:v>72</c:v>
                </c:pt>
                <c:pt idx="4">
                  <c:v>65</c:v>
                </c:pt>
                <c:pt idx="5">
                  <c:v>58</c:v>
                </c:pt>
                <c:pt idx="6">
                  <c:v>53</c:v>
                </c:pt>
                <c:pt idx="7">
                  <c:v>52</c:v>
                </c:pt>
                <c:pt idx="8">
                  <c:v>39</c:v>
                </c:pt>
                <c:pt idx="9">
                  <c:v>24</c:v>
                </c:pt>
                <c:pt idx="10">
                  <c:v>15</c:v>
                </c:pt>
                <c:pt idx="11">
                  <c:v>12</c:v>
                </c:pt>
                <c:pt idx="12">
                  <c:v>11</c:v>
                </c:pt>
                <c:pt idx="13">
                  <c:v>7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A6-4F48-9C30-2F9394E37C8F}"/>
            </c:ext>
          </c:extLst>
        </c:ser>
        <c:ser>
          <c:idx val="1"/>
          <c:order val="1"/>
          <c:tx>
            <c:strRef>
              <c:f>Hoja1!$A$12</c:f>
              <c:strCache>
                <c:ptCount val="1"/>
                <c:pt idx="0">
                  <c:v>Estimada producto por realizar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</c:numLit>
          </c:cat>
          <c:val>
            <c:numRef>
              <c:f>Hoja1!$B$12:$P$12</c:f>
              <c:numCache>
                <c:formatCode>0</c:formatCode>
                <c:ptCount val="15"/>
                <c:pt idx="0" formatCode="General">
                  <c:v>98</c:v>
                </c:pt>
                <c:pt idx="1">
                  <c:v>91</c:v>
                </c:pt>
                <c:pt idx="2">
                  <c:v>84</c:v>
                </c:pt>
                <c:pt idx="3">
                  <c:v>77</c:v>
                </c:pt>
                <c:pt idx="4">
                  <c:v>70</c:v>
                </c:pt>
                <c:pt idx="5">
                  <c:v>63</c:v>
                </c:pt>
                <c:pt idx="6">
                  <c:v>56</c:v>
                </c:pt>
                <c:pt idx="7">
                  <c:v>49</c:v>
                </c:pt>
                <c:pt idx="8">
                  <c:v>42</c:v>
                </c:pt>
                <c:pt idx="9">
                  <c:v>35</c:v>
                </c:pt>
                <c:pt idx="10">
                  <c:v>28</c:v>
                </c:pt>
                <c:pt idx="11">
                  <c:v>21</c:v>
                </c:pt>
                <c:pt idx="12">
                  <c:v>14</c:v>
                </c:pt>
                <c:pt idx="13">
                  <c:v>7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6-4F48-9C30-2F9394E37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4899088"/>
        <c:axId val="1554498720"/>
      </c:lineChart>
      <c:catAx>
        <c:axId val="178489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54498720"/>
        <c:crosses val="autoZero"/>
        <c:auto val="1"/>
        <c:lblAlgn val="ctr"/>
        <c:lblOffset val="100"/>
        <c:noMultiLvlLbl val="0"/>
      </c:catAx>
      <c:valAx>
        <c:axId val="15544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8489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114410</xdr:colOff>
      <xdr:row>1</xdr:row>
      <xdr:rowOff>186389</xdr:rowOff>
    </xdr:from>
    <xdr:to>
      <xdr:col>22</xdr:col>
      <xdr:colOff>305288</xdr:colOff>
      <xdr:row>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17227A-141E-CD40-6662-4BB886FDD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3CFB-8DEF-40BC-AD50-F758CC8DDB5F}">
  <dimension ref="A1:Q12"/>
  <sheetViews>
    <sheetView tabSelected="1" zoomScale="60" workbookViewId="0">
      <selection activeCell="B8" sqref="B8"/>
    </sheetView>
  </sheetViews>
  <sheetFormatPr defaultColWidth="11.42578125" defaultRowHeight="15"/>
  <cols>
    <col min="1" max="1" width="39.7109375" customWidth="1"/>
    <col min="2" max="2" width="16.140625" bestFit="1" customWidth="1"/>
  </cols>
  <sheetData>
    <row r="1" spans="1:17" ht="21">
      <c r="A1" s="1" t="s">
        <v>0</v>
      </c>
      <c r="B1" s="1" t="s">
        <v>1</v>
      </c>
    </row>
    <row r="3" spans="1:17">
      <c r="A3" s="12" t="s">
        <v>2</v>
      </c>
      <c r="B3" s="12" t="s">
        <v>3</v>
      </c>
      <c r="C3" s="11" t="s">
        <v>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 t="s">
        <v>5</v>
      </c>
    </row>
    <row r="4" spans="1:17">
      <c r="A4" s="12"/>
      <c r="B4" s="12"/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11"/>
    </row>
    <row r="5" spans="1:17" ht="57">
      <c r="A5" s="3" t="s">
        <v>6</v>
      </c>
      <c r="B5" s="5">
        <v>28</v>
      </c>
      <c r="C5" s="2">
        <v>4</v>
      </c>
      <c r="D5" s="2"/>
      <c r="E5" s="2">
        <v>4</v>
      </c>
      <c r="F5" s="2">
        <v>4</v>
      </c>
      <c r="G5" s="2">
        <v>4</v>
      </c>
      <c r="H5" s="2">
        <v>3</v>
      </c>
      <c r="I5" s="2"/>
      <c r="J5" s="2">
        <v>4</v>
      </c>
      <c r="K5" s="2">
        <v>3</v>
      </c>
      <c r="L5" s="2"/>
      <c r="M5" s="2"/>
      <c r="N5" s="2"/>
      <c r="O5" s="2">
        <v>1</v>
      </c>
      <c r="P5" s="2">
        <v>1</v>
      </c>
      <c r="Q5" s="2">
        <f>SUM(C5:P5)</f>
        <v>28</v>
      </c>
    </row>
    <row r="6" spans="1:17" ht="57.75">
      <c r="A6" s="3" t="s">
        <v>7</v>
      </c>
      <c r="B6" s="5">
        <v>34</v>
      </c>
      <c r="C6" s="2">
        <v>3</v>
      </c>
      <c r="D6" s="2">
        <v>3</v>
      </c>
      <c r="E6" s="2">
        <v>4</v>
      </c>
      <c r="F6" s="2">
        <v>3</v>
      </c>
      <c r="G6" s="2">
        <v>3</v>
      </c>
      <c r="H6" s="2">
        <v>2</v>
      </c>
      <c r="I6" s="2"/>
      <c r="J6" s="2">
        <v>2</v>
      </c>
      <c r="K6" s="2">
        <v>4</v>
      </c>
      <c r="L6" s="2">
        <v>4</v>
      </c>
      <c r="M6" s="2">
        <v>3</v>
      </c>
      <c r="N6" s="2">
        <v>1</v>
      </c>
      <c r="O6" s="2"/>
      <c r="P6" s="2">
        <v>2</v>
      </c>
      <c r="Q6" s="2">
        <f t="shared" ref="Q6:Q8" si="0">SUM(C6:P6)</f>
        <v>34</v>
      </c>
    </row>
    <row r="7" spans="1:17" ht="57">
      <c r="A7" s="4" t="s">
        <v>8</v>
      </c>
      <c r="B7" s="5">
        <v>20</v>
      </c>
      <c r="C7" s="2"/>
      <c r="D7" s="2">
        <v>4</v>
      </c>
      <c r="E7" s="2">
        <v>4</v>
      </c>
      <c r="F7" s="2"/>
      <c r="G7" s="2"/>
      <c r="H7" s="2"/>
      <c r="I7" s="2"/>
      <c r="J7" s="2">
        <v>4</v>
      </c>
      <c r="K7" s="2">
        <v>4</v>
      </c>
      <c r="L7" s="2">
        <v>2</v>
      </c>
      <c r="M7" s="2"/>
      <c r="N7" s="2"/>
      <c r="O7" s="2"/>
      <c r="P7" s="2">
        <v>2</v>
      </c>
      <c r="Q7" s="2">
        <f t="shared" si="0"/>
        <v>20</v>
      </c>
    </row>
    <row r="8" spans="1:17" ht="57">
      <c r="A8" s="10" t="s">
        <v>9</v>
      </c>
      <c r="B8" s="5">
        <v>16</v>
      </c>
      <c r="C8" s="2"/>
      <c r="D8" s="2"/>
      <c r="E8" s="2"/>
      <c r="F8" s="2"/>
      <c r="G8" s="2"/>
      <c r="H8" s="2"/>
      <c r="I8" s="2">
        <v>1</v>
      </c>
      <c r="J8" s="2">
        <v>3</v>
      </c>
      <c r="K8" s="2">
        <v>4</v>
      </c>
      <c r="L8" s="2">
        <v>3</v>
      </c>
      <c r="M8" s="2"/>
      <c r="N8" s="2"/>
      <c r="O8" s="2">
        <v>3</v>
      </c>
      <c r="P8" s="2">
        <v>2</v>
      </c>
      <c r="Q8" s="2">
        <f t="shared" si="0"/>
        <v>16</v>
      </c>
    </row>
    <row r="10" spans="1:17">
      <c r="A10" s="6" t="s">
        <v>10</v>
      </c>
      <c r="B10" s="8">
        <f>SUM(B5:B8)</f>
        <v>98</v>
      </c>
      <c r="C10">
        <f>B10-SUM(C5:C8)</f>
        <v>91</v>
      </c>
      <c r="D10">
        <f>C10-SUM(D5:D8)</f>
        <v>84</v>
      </c>
      <c r="E10">
        <f>D10-SUM(E5:E8)</f>
        <v>72</v>
      </c>
      <c r="F10">
        <f>E10-SUM(F5:F8)</f>
        <v>65</v>
      </c>
      <c r="G10">
        <f>F10-SUM(G5:G8)</f>
        <v>58</v>
      </c>
      <c r="H10">
        <f>G10-SUM(H5:H8)</f>
        <v>53</v>
      </c>
      <c r="I10">
        <f>H10-SUM(I5:I8)</f>
        <v>52</v>
      </c>
      <c r="J10">
        <f>I10-SUM(J5:J8)</f>
        <v>39</v>
      </c>
      <c r="K10">
        <f>J10-SUM(K5:K8)</f>
        <v>24</v>
      </c>
      <c r="L10">
        <f>K10-SUM(L5:L8)</f>
        <v>15</v>
      </c>
      <c r="M10">
        <f>L10-SUM(M5:M8)</f>
        <v>12</v>
      </c>
      <c r="N10">
        <f>M10-SUM(N5:N8)</f>
        <v>11</v>
      </c>
      <c r="O10">
        <f>N10-SUM(O5:O8)</f>
        <v>7</v>
      </c>
      <c r="P10">
        <f>O10-SUM(P5:P8)</f>
        <v>0</v>
      </c>
    </row>
    <row r="12" spans="1:17">
      <c r="A12" s="6" t="s">
        <v>11</v>
      </c>
      <c r="B12" s="7">
        <f>SUM(B5:B8)</f>
        <v>98</v>
      </c>
      <c r="C12" s="9">
        <f>B12-(SUM($B$5:$B$8)/14)</f>
        <v>91</v>
      </c>
      <c r="D12" s="9">
        <f>C12-(SUM($B$5:$B$8)/14)</f>
        <v>84</v>
      </c>
      <c r="E12" s="9">
        <f>D12-(SUM($B$5:$B$8)/14)</f>
        <v>77</v>
      </c>
      <c r="F12" s="9">
        <f>E12-(SUM($B$5:$B$8)/14)</f>
        <v>70</v>
      </c>
      <c r="G12" s="9">
        <f>F12-(SUM($B$5:$B$8)/14)</f>
        <v>63</v>
      </c>
      <c r="H12" s="9">
        <f>G12-(SUM($B$5:$B$8)/14)</f>
        <v>56</v>
      </c>
      <c r="I12" s="9">
        <f>H12-(SUM($B$5:$B$8)/14)</f>
        <v>49</v>
      </c>
      <c r="J12" s="9">
        <f>I12-(SUM($B$5:$B$8)/14)</f>
        <v>42</v>
      </c>
      <c r="K12" s="9">
        <f>J12-(SUM($B$5:$B$8)/14)</f>
        <v>35</v>
      </c>
      <c r="L12" s="9">
        <f>K12-(SUM($B$5:$B$8)/14)</f>
        <v>28</v>
      </c>
      <c r="M12" s="9">
        <f>L12-(SUM($B$5:$B$8)/14)</f>
        <v>21</v>
      </c>
      <c r="N12" s="9">
        <f>M12-(SUM($B$5:$B$8)/14)</f>
        <v>14</v>
      </c>
      <c r="O12" s="9">
        <f>N12-(SUM($B$5:$B$8)/14)</f>
        <v>7</v>
      </c>
      <c r="P12" s="9">
        <f>O12-(SUM($B$5:$B$8)/14)</f>
        <v>0</v>
      </c>
    </row>
  </sheetData>
  <mergeCells count="4">
    <mergeCell ref="A3:A4"/>
    <mergeCell ref="B3:B4"/>
    <mergeCell ref="C3:P3"/>
    <mergeCell ref="Q3:Q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58b98d-0d1c-4b39-ab1a-27f5542ec9a3" xsi:nil="true"/>
    <lcf76f155ced4ddcb4097134ff3c332f xmlns="b5e4d149-0cd8-42fa-aa84-3527298a6f3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70C06A7B5FC147AAC60E5EE0AFD191" ma:contentTypeVersion="11" ma:contentTypeDescription="Crear nuevo documento." ma:contentTypeScope="" ma:versionID="c259729e50718dac30689029d0c35edf">
  <xsd:schema xmlns:xsd="http://www.w3.org/2001/XMLSchema" xmlns:xs="http://www.w3.org/2001/XMLSchema" xmlns:p="http://schemas.microsoft.com/office/2006/metadata/properties" xmlns:ns2="b5e4d149-0cd8-42fa-aa84-3527298a6f37" xmlns:ns3="8b58b98d-0d1c-4b39-ab1a-27f5542ec9a3" targetNamespace="http://schemas.microsoft.com/office/2006/metadata/properties" ma:root="true" ma:fieldsID="ec66b418ec090a2891392b607444dacf" ns2:_="" ns3:_="">
    <xsd:import namespace="b5e4d149-0cd8-42fa-aa84-3527298a6f37"/>
    <xsd:import namespace="8b58b98d-0d1c-4b39-ab1a-27f5542ec9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e4d149-0cd8-42fa-aa84-3527298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8b98d-0d1c-4b39-ab1a-27f5542ec9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de5500-a711-42c5-a217-85ff2e22f868}" ma:internalName="TaxCatchAll" ma:showField="CatchAllData" ma:web="8b58b98d-0d1c-4b39-ab1a-27f5542ec9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2BA35F-FEF3-4322-A9A2-0EE3821BD55C}"/>
</file>

<file path=customXml/itemProps2.xml><?xml version="1.0" encoding="utf-8"?>
<ds:datastoreItem xmlns:ds="http://schemas.openxmlformats.org/officeDocument/2006/customXml" ds:itemID="{7BE5CDAC-AED1-4662-A5CF-1695B91F4809}"/>
</file>

<file path=customXml/itemProps3.xml><?xml version="1.0" encoding="utf-8"?>
<ds:datastoreItem xmlns:ds="http://schemas.openxmlformats.org/officeDocument/2006/customXml" ds:itemID="{1F126306-55B7-4D3D-99CD-B8A0FAA544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MATIAS MARCELO TAPIA AMPUERO</dc:creator>
  <cp:keywords/>
  <dc:description/>
  <cp:lastModifiedBy>MATIAS MARCELO TAPIA AMPUERO</cp:lastModifiedBy>
  <cp:revision/>
  <dcterms:created xsi:type="dcterms:W3CDTF">2026-10-13T17:09:20Z</dcterms:created>
  <dcterms:modified xsi:type="dcterms:W3CDTF">2026-10-14T02:33:36Z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0x0101007F70C06A7B5FC147AAC60E5EE0AFD191</vt:lpwstr>
  </property>
  <property fmtid="{D5CDD505-2E9C-101B-9397-08002B2CF9AE}" pid="3" name="MediaServiceImageTags">
    <vt:lpwstr/>
  </property>
</Properties>
</file>